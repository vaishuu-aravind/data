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FF8020B6-1330-446D-8A80-7D8F16A8564A}" xr6:coauthVersionLast="41" xr6:coauthVersionMax="41" xr10:uidLastSave="{00000000-0000-0000-0000-000000000000}"/>
  <bookViews>
    <workbookView xWindow="-120" yWindow="-120" windowWidth="20730" windowHeight="11040" xr2:uid="{A0CF4CF0-E5A7-483A-903D-9D3E28326A5D}"/>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1" l="1"/>
  <c r="C17" i="1"/>
  <c r="C18" i="1"/>
  <c r="C19" i="1"/>
  <c r="C20" i="1"/>
  <c r="C15" i="1"/>
  <c r="L12" i="1"/>
  <c r="L13" i="1"/>
  <c r="L4" i="1"/>
  <c r="L5" i="1"/>
  <c r="L6" i="1"/>
  <c r="L7" i="1"/>
  <c r="L8" i="1"/>
  <c r="L9" i="1"/>
  <c r="L10" i="1"/>
  <c r="L11" i="1"/>
  <c r="K4" i="1"/>
  <c r="K5" i="1"/>
  <c r="K6" i="1"/>
  <c r="K7" i="1"/>
  <c r="K8" i="1"/>
  <c r="K9" i="1"/>
  <c r="K10" i="1"/>
  <c r="K11" i="1"/>
  <c r="K12" i="1"/>
  <c r="K13" i="1"/>
  <c r="J4" i="1"/>
  <c r="J5" i="1"/>
  <c r="J6" i="1"/>
  <c r="J7" i="1"/>
  <c r="J8" i="1"/>
  <c r="J9" i="1"/>
  <c r="J10" i="1"/>
  <c r="J11" i="1"/>
  <c r="J12" i="1"/>
  <c r="J13" i="1"/>
  <c r="J2" i="1"/>
  <c r="I4" i="1"/>
  <c r="I5" i="1"/>
  <c r="I6" i="1"/>
  <c r="I7" i="1"/>
  <c r="I8" i="1"/>
  <c r="I9" i="1"/>
  <c r="I10" i="1"/>
  <c r="I11" i="1"/>
  <c r="I12" i="1"/>
  <c r="I13" i="1"/>
  <c r="I2" i="1"/>
  <c r="K2" i="1"/>
  <c r="L2" i="1"/>
  <c r="L3" i="1"/>
  <c r="K3" i="1" l="1"/>
  <c r="J3" i="1"/>
  <c r="I3" i="1"/>
</calcChain>
</file>

<file path=xl/sharedStrings.xml><?xml version="1.0" encoding="utf-8"?>
<sst xmlns="http://schemas.openxmlformats.org/spreadsheetml/2006/main" count="68" uniqueCount="57">
  <si>
    <t>SL.NO</t>
  </si>
  <si>
    <t>PRODUCT NAME</t>
  </si>
  <si>
    <t>PRODUCT ID</t>
  </si>
  <si>
    <t>BRAND NAME</t>
  </si>
  <si>
    <t>QUANTITY</t>
  </si>
  <si>
    <t>CATEGORY</t>
  </si>
  <si>
    <t>PRICE</t>
  </si>
  <si>
    <t>EXPIRY</t>
  </si>
  <si>
    <t>PRICE RANGE</t>
  </si>
  <si>
    <t>DAY</t>
  </si>
  <si>
    <t>COUNTRY CODE</t>
  </si>
  <si>
    <t>MONTH</t>
  </si>
  <si>
    <t>01-JAN-UK</t>
  </si>
  <si>
    <t>03-FEB-US</t>
  </si>
  <si>
    <t>22-MAR-IN</t>
  </si>
  <si>
    <t>10-APR-US</t>
  </si>
  <si>
    <t>15-MAY-IN</t>
  </si>
  <si>
    <t>Glucometer</t>
  </si>
  <si>
    <t>Thermameter</t>
  </si>
  <si>
    <t>Surgical set</t>
  </si>
  <si>
    <t>Apoll</t>
  </si>
  <si>
    <t>Healthplus</t>
  </si>
  <si>
    <t>Surgicraft</t>
  </si>
  <si>
    <t>Bio care</t>
  </si>
  <si>
    <t>Diagnostic</t>
  </si>
  <si>
    <t>Electronics</t>
  </si>
  <si>
    <t>Surgial</t>
  </si>
  <si>
    <t>16-JUNE-US</t>
  </si>
  <si>
    <t>5 -JULY-IN</t>
  </si>
  <si>
    <t>8 -AUG-UK</t>
  </si>
  <si>
    <t>9 - SEP - IN</t>
  </si>
  <si>
    <t>20-NOV-UK</t>
  </si>
  <si>
    <t>23-DEC-IN</t>
  </si>
  <si>
    <t>11- OCT-UK</t>
  </si>
  <si>
    <t>Bp monitor</t>
  </si>
  <si>
    <t>Oxygen mask</t>
  </si>
  <si>
    <t>Fan</t>
  </si>
  <si>
    <t>Light</t>
  </si>
  <si>
    <t>Cctv camera</t>
  </si>
  <si>
    <t>Vendilator</t>
  </si>
  <si>
    <t>Heater</t>
  </si>
  <si>
    <t>Bpl</t>
  </si>
  <si>
    <t>Micro</t>
  </si>
  <si>
    <t>Life save</t>
  </si>
  <si>
    <t>Crompten</t>
  </si>
  <si>
    <t>Philips</t>
  </si>
  <si>
    <t>Lg</t>
  </si>
  <si>
    <t>liton</t>
  </si>
  <si>
    <t>Monitor system</t>
  </si>
  <si>
    <t>Total Price Of All Products</t>
  </si>
  <si>
    <t>Average price</t>
  </si>
  <si>
    <t xml:space="preserve"> Minimum price</t>
  </si>
  <si>
    <t>Maximum price</t>
  </si>
  <si>
    <t>No.Of Products &gt;100</t>
  </si>
  <si>
    <t>No. Of Total  Products</t>
  </si>
  <si>
    <t>PERFORMED STEPS</t>
  </si>
  <si>
    <t>NO.01 highlight the letters use with (B)
NO.2 Spacing Eachone For Neet Looks
NO.3 use alignment option for right left mid text
NO.4 applying colour for headers use with fill colour 
NO.5 use currency option for ruppees  sympol NO.6sum ,count,ciunta, formulas for total counts and total price 
NO.7 apply if conditions for minmum,maximum and average 
NO.8 finaly  borders for all colums use with all border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</si>
</sst>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0"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1" xfId="0" applyBorder="1"/>
    <xf numFmtId="17" fontId="0" fillId="0" borderId="1" xfId="0" applyNumberFormat="1" applyBorder="1" applyAlignment="1">
      <alignment horizontal="center"/>
    </xf>
    <xf numFmtId="0" fontId="0" fillId="0" borderId="2" xfId="0" applyBorder="1" applyAlignment="1">
      <alignment horizontal="center" vertical="center"/>
    </xf>
    <xf numFmtId="0" fontId="0" fillId="0" borderId="1" xfId="0" applyFont="1" applyBorder="1" applyAlignment="1">
      <alignment horizontal="center" vertical="center"/>
    </xf>
    <xf numFmtId="0" fontId="1" fillId="2" borderId="0" xfId="0" applyFont="1" applyFill="1" applyBorder="1"/>
    <xf numFmtId="0" fontId="0" fillId="0" borderId="3" xfId="0" applyBorder="1" applyAlignment="1">
      <alignment horizontal="center"/>
    </xf>
    <xf numFmtId="0" fontId="0" fillId="0" borderId="4" xfId="0" applyBorder="1" applyAlignment="1">
      <alignment horizontal="center"/>
    </xf>
    <xf numFmtId="0" fontId="0" fillId="0" borderId="4" xfId="0" applyBorder="1"/>
    <xf numFmtId="17" fontId="0" fillId="0" borderId="4" xfId="0" applyNumberFormat="1" applyBorder="1" applyAlignment="1">
      <alignment horizontal="center"/>
    </xf>
    <xf numFmtId="0" fontId="0" fillId="0" borderId="3" xfId="0" applyBorder="1" applyAlignment="1">
      <alignment horizontal="center" vertical="center"/>
    </xf>
    <xf numFmtId="0" fontId="0" fillId="0" borderId="4" xfId="0" applyFont="1" applyBorder="1" applyAlignment="1">
      <alignment horizontal="center" vertical="center"/>
    </xf>
    <xf numFmtId="164" fontId="1" fillId="2" borderId="0" xfId="0" applyNumberFormat="1" applyFont="1" applyFill="1" applyBorder="1"/>
    <xf numFmtId="0" fontId="0" fillId="0" borderId="0" xfId="0" applyAlignment="1">
      <alignment horizontal="center"/>
    </xf>
    <xf numFmtId="0" fontId="0" fillId="0" borderId="0" xfId="0" applyAlignment="1"/>
    <xf numFmtId="164" fontId="0" fillId="0" borderId="1" xfId="0" applyNumberFormat="1" applyFont="1" applyBorder="1" applyAlignment="1">
      <alignment horizontal="center"/>
    </xf>
    <xf numFmtId="0" fontId="0" fillId="0" borderId="0" xfId="0" applyBorder="1" applyAlignment="1">
      <alignment horizontal="center"/>
    </xf>
    <xf numFmtId="164" fontId="0" fillId="0" borderId="0" xfId="0" applyNumberFormat="1" applyAlignment="1"/>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applyAlignment="1">
      <alignment vertical="top"/>
    </xf>
    <xf numFmtId="0" fontId="1" fillId="0" borderId="0" xfId="0" applyFont="1" applyAlignment="1">
      <alignment horizontal="center"/>
    </xf>
    <xf numFmtId="0" fontId="0" fillId="0" borderId="1" xfId="0" applyFont="1" applyBorder="1" applyAlignment="1">
      <alignment horizontal="right"/>
    </xf>
    <xf numFmtId="0" fontId="0" fillId="0" borderId="1" xfId="0" applyFont="1" applyBorder="1" applyAlignment="1">
      <alignment horizontal="left" vertical="top" wrapText="1"/>
    </xf>
    <xf numFmtId="0" fontId="0" fillId="0" borderId="1" xfId="0" applyFont="1" applyBorder="1" applyAlignment="1">
      <alignment horizontal="left" vertical="top"/>
    </xf>
  </cellXfs>
  <cellStyles count="1">
    <cellStyle name="Normal" xfId="0" builtinId="0"/>
  </cellStyles>
  <dxfs count="24">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2" formatCode="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2" formatCode="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E963CF-4DC6-4AD8-A60F-1D3CB7EEEB4B}" name="Table1" displayName="Table1" ref="A1:L13" totalsRowShown="0" headerRowDxfId="22" tableBorderDxfId="23">
  <autoFilter ref="A1:L13" xr:uid="{7FAC1B3D-8426-498A-83AD-468D08EC1577}"/>
  <tableColumns count="12">
    <tableColumn id="1" xr3:uid="{17AAD39E-CD27-42DF-A689-C255F3A5941B}" name="SL.NO" dataDxfId="19" totalsRowDxfId="18"/>
    <tableColumn id="2" xr3:uid="{A6156A82-A3C3-47B8-B92C-495CDF0CA9B6}" name="PRODUCT ID" dataDxfId="21"/>
    <tableColumn id="3" xr3:uid="{0B968263-075B-48C1-A3F9-468A53F46417}" name="PRODUCT NAME" dataDxfId="20"/>
    <tableColumn id="4" xr3:uid="{DE423A13-871E-436B-8351-1DCABC87427D}" name="BRAND NAME" dataDxfId="17" totalsRowDxfId="16"/>
    <tableColumn id="5" xr3:uid="{B2522068-1B62-4B25-9702-36CDCFAFD33E}" name="QUANTITY" dataDxfId="15" totalsRowDxfId="14"/>
    <tableColumn id="6" xr3:uid="{D84E162A-5E96-4DE7-B3B4-8377AEF6A37E}" name="CATEGORY" dataDxfId="13" totalsRowDxfId="12"/>
    <tableColumn id="7" xr3:uid="{86353F12-4EFD-4C63-A573-AA15616539D3}" name="PRICE" dataDxfId="11" totalsRowDxfId="10"/>
    <tableColumn id="8" xr3:uid="{1B0C84F1-F552-45EC-A682-F38927C274C6}" name="EXPIRY" dataDxfId="9" totalsRowDxfId="8"/>
    <tableColumn id="9" xr3:uid="{6CD31FA4-69D1-42D6-82F2-A9552AD5C46F}" name="PRICE RANGE" dataDxfId="7" totalsRowDxfId="6">
      <calculatedColumnFormula>IF(G2&lt;100,"GOOD","STANDARD")</calculatedColumnFormula>
    </tableColumn>
    <tableColumn id="10" xr3:uid="{68A612E7-E93B-4C42-A735-03052ECDA9F7}" name="DAY" dataDxfId="5" totalsRowDxfId="4">
      <calculatedColumnFormula>LEFT(B2,2)</calculatedColumnFormula>
    </tableColumn>
    <tableColumn id="11" xr3:uid="{3E16263C-F1D1-4C97-AEBE-EE83438A3880}" name="COUNTRY CODE" dataDxfId="3" totalsRowDxfId="2">
      <calculatedColumnFormula>RIGHT(B2,2)</calculatedColumnFormula>
    </tableColumn>
    <tableColumn id="12" xr3:uid="{61AD22FA-3F87-4B46-A217-A481728133D9}" name="MONTH" dataDxfId="1" totalsRowDxfId="0">
      <calculatedColumnFormula>MID(B2,4,2)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6A29-3D92-4CFE-9E8F-4A57AEA9713F}">
  <dimension ref="A1:M24"/>
  <sheetViews>
    <sheetView tabSelected="1" zoomScale="110" zoomScaleNormal="110" workbookViewId="0">
      <selection activeCell="A2" sqref="A2"/>
    </sheetView>
  </sheetViews>
  <sheetFormatPr defaultRowHeight="15" x14ac:dyDescent="0.25"/>
  <cols>
    <col min="2" max="2" width="13.5703125" customWidth="1"/>
    <col min="3" max="3" width="17.42578125" customWidth="1"/>
    <col min="4" max="4" width="15.28515625" customWidth="1"/>
    <col min="5" max="5" width="12" customWidth="1"/>
    <col min="6" max="6" width="12.140625" customWidth="1"/>
    <col min="7" max="7" width="9.7109375" bestFit="1" customWidth="1"/>
    <col min="9" max="9" width="14.5703125" customWidth="1"/>
    <col min="11" max="11" width="16.5703125" customWidth="1"/>
    <col min="12" max="12" width="9.85546875" customWidth="1"/>
  </cols>
  <sheetData>
    <row r="1" spans="1:13" x14ac:dyDescent="0.25">
      <c r="A1" s="8" t="s">
        <v>0</v>
      </c>
      <c r="B1" s="8" t="s">
        <v>2</v>
      </c>
      <c r="C1" s="8" t="s">
        <v>1</v>
      </c>
      <c r="D1" s="8" t="s">
        <v>3</v>
      </c>
      <c r="E1" s="8" t="s">
        <v>4</v>
      </c>
      <c r="F1" s="8" t="s">
        <v>5</v>
      </c>
      <c r="G1" s="15" t="s">
        <v>6</v>
      </c>
      <c r="H1" s="8" t="s">
        <v>7</v>
      </c>
      <c r="I1" s="8" t="s">
        <v>8</v>
      </c>
      <c r="J1" s="8" t="s">
        <v>9</v>
      </c>
      <c r="K1" s="8" t="s">
        <v>10</v>
      </c>
      <c r="L1" s="8" t="s">
        <v>11</v>
      </c>
    </row>
    <row r="2" spans="1:13" x14ac:dyDescent="0.25">
      <c r="A2" s="25">
        <v>1</v>
      </c>
      <c r="B2" s="1" t="s">
        <v>12</v>
      </c>
      <c r="C2" s="1" t="s">
        <v>17</v>
      </c>
      <c r="D2" s="1" t="s">
        <v>20</v>
      </c>
      <c r="E2" s="1">
        <v>2</v>
      </c>
      <c r="F2" s="1" t="s">
        <v>24</v>
      </c>
      <c r="G2" s="18">
        <v>1100</v>
      </c>
      <c r="H2" s="1">
        <v>10959</v>
      </c>
      <c r="I2" s="1" t="str">
        <f>IF(G2&lt;100,"GOOD","STANDARD")</f>
        <v>STANDARD</v>
      </c>
      <c r="J2" s="1" t="str">
        <f>LEFT(B2,2)</f>
        <v>01</v>
      </c>
      <c r="K2" s="1" t="str">
        <f>RIGHT(B2,2)</f>
        <v>UK</v>
      </c>
      <c r="L2" s="1" t="str">
        <f>MID(B2,4,2)</f>
        <v>JA</v>
      </c>
    </row>
    <row r="3" spans="1:13" x14ac:dyDescent="0.25">
      <c r="A3" s="3">
        <v>2</v>
      </c>
      <c r="B3" s="3" t="s">
        <v>13</v>
      </c>
      <c r="C3" s="2" t="s">
        <v>18</v>
      </c>
      <c r="D3" s="3" t="s">
        <v>21</v>
      </c>
      <c r="E3" s="3">
        <v>20</v>
      </c>
      <c r="F3" s="4" t="s">
        <v>25</v>
      </c>
      <c r="G3" s="18">
        <v>90</v>
      </c>
      <c r="H3" s="5">
        <v>12145</v>
      </c>
      <c r="I3" s="6" t="str">
        <f>IF(G3&lt;100,"GOOD","STANDARD")</f>
        <v>GOOD</v>
      </c>
      <c r="J3" s="7" t="str">
        <f>LEFT(B3,2)</f>
        <v>03</v>
      </c>
      <c r="K3" s="2" t="str">
        <f>RIGHT(B3,2)</f>
        <v>US</v>
      </c>
      <c r="L3" s="2" t="str">
        <f>MID(B3,4,2)</f>
        <v>FE</v>
      </c>
    </row>
    <row r="4" spans="1:13" x14ac:dyDescent="0.25">
      <c r="A4" s="3">
        <v>3</v>
      </c>
      <c r="B4" s="3" t="s">
        <v>14</v>
      </c>
      <c r="C4" s="2" t="s">
        <v>19</v>
      </c>
      <c r="D4" s="3" t="s">
        <v>22</v>
      </c>
      <c r="E4" s="3">
        <v>40</v>
      </c>
      <c r="F4" s="4" t="s">
        <v>26</v>
      </c>
      <c r="G4" s="18">
        <v>200</v>
      </c>
      <c r="H4" s="5">
        <v>14946</v>
      </c>
      <c r="I4" s="6" t="str">
        <f>IF(G4&lt;100,"GOOD","STANDARD")</f>
        <v>STANDARD</v>
      </c>
      <c r="J4" s="7" t="str">
        <f>LEFT(B4,2)</f>
        <v>22</v>
      </c>
      <c r="K4" s="2" t="str">
        <f>RIGHT(B4,2)</f>
        <v>IN</v>
      </c>
      <c r="L4" s="2" t="str">
        <f>MID(B4,4,2)</f>
        <v>MA</v>
      </c>
    </row>
    <row r="5" spans="1:13" x14ac:dyDescent="0.25">
      <c r="A5" s="3">
        <v>4</v>
      </c>
      <c r="B5" s="3" t="s">
        <v>15</v>
      </c>
      <c r="C5" s="2" t="s">
        <v>48</v>
      </c>
      <c r="D5" s="3" t="s">
        <v>23</v>
      </c>
      <c r="E5" s="3">
        <v>8</v>
      </c>
      <c r="F5" s="4" t="s">
        <v>25</v>
      </c>
      <c r="G5" s="18">
        <v>850</v>
      </c>
      <c r="H5" s="5">
        <v>47119</v>
      </c>
      <c r="I5" s="6" t="str">
        <f>IF(G5&lt;100,"GOOD","STANDARD")</f>
        <v>STANDARD</v>
      </c>
      <c r="J5" s="7" t="str">
        <f>LEFT(B5,2)</f>
        <v>10</v>
      </c>
      <c r="K5" s="2" t="str">
        <f>RIGHT(B5,2)</f>
        <v>US</v>
      </c>
      <c r="L5" s="2" t="str">
        <f>MID(B5,4,2)</f>
        <v>AP</v>
      </c>
    </row>
    <row r="6" spans="1:13" x14ac:dyDescent="0.25">
      <c r="A6" s="3">
        <v>5</v>
      </c>
      <c r="B6" s="3" t="s">
        <v>16</v>
      </c>
      <c r="C6" s="2" t="s">
        <v>34</v>
      </c>
      <c r="D6" s="3" t="s">
        <v>41</v>
      </c>
      <c r="E6" s="3">
        <v>4</v>
      </c>
      <c r="F6" s="4" t="s">
        <v>25</v>
      </c>
      <c r="G6" s="18">
        <v>600</v>
      </c>
      <c r="H6" s="5">
        <v>11263</v>
      </c>
      <c r="I6" s="6" t="str">
        <f>IF(G6&lt;100,"GOOD","STANDARD")</f>
        <v>STANDARD</v>
      </c>
      <c r="J6" s="7" t="str">
        <f>LEFT(B6,2)</f>
        <v>15</v>
      </c>
      <c r="K6" s="2" t="str">
        <f>RIGHT(B6,2)</f>
        <v>IN</v>
      </c>
      <c r="L6" s="2" t="str">
        <f>MID(B6,4,2)</f>
        <v>MA</v>
      </c>
    </row>
    <row r="7" spans="1:13" x14ac:dyDescent="0.25">
      <c r="A7" s="3">
        <v>6</v>
      </c>
      <c r="B7" s="3" t="s">
        <v>27</v>
      </c>
      <c r="C7" s="2" t="s">
        <v>35</v>
      </c>
      <c r="D7" s="3" t="s">
        <v>42</v>
      </c>
      <c r="E7" s="3">
        <v>10</v>
      </c>
      <c r="F7" s="4" t="s">
        <v>25</v>
      </c>
      <c r="G7" s="18">
        <v>800</v>
      </c>
      <c r="H7" s="5">
        <v>13119</v>
      </c>
      <c r="I7" s="6" t="str">
        <f>IF(G7&lt;100,"GOOD","STANDARD")</f>
        <v>STANDARD</v>
      </c>
      <c r="J7" s="7" t="str">
        <f>LEFT(B7,2)</f>
        <v>16</v>
      </c>
      <c r="K7" s="2" t="str">
        <f>RIGHT(B7,2)</f>
        <v>US</v>
      </c>
      <c r="L7" s="2" t="str">
        <f>MID(B7,4,2)</f>
        <v>JU</v>
      </c>
    </row>
    <row r="8" spans="1:13" x14ac:dyDescent="0.25">
      <c r="A8" s="3">
        <v>7</v>
      </c>
      <c r="B8" s="3" t="s">
        <v>28</v>
      </c>
      <c r="C8" s="2" t="s">
        <v>39</v>
      </c>
      <c r="D8" s="3" t="s">
        <v>43</v>
      </c>
      <c r="E8" s="3">
        <v>50</v>
      </c>
      <c r="F8" s="4" t="s">
        <v>25</v>
      </c>
      <c r="G8" s="18">
        <v>400</v>
      </c>
      <c r="H8" s="5">
        <v>14702</v>
      </c>
      <c r="I8" s="6" t="str">
        <f>IF(G8&lt;100,"GOOD","STANDARD")</f>
        <v>STANDARD</v>
      </c>
      <c r="J8" s="7" t="str">
        <f>LEFT(B8,2)</f>
        <v xml:space="preserve">5 </v>
      </c>
      <c r="K8" s="2" t="str">
        <f>RIGHT(B8,2)</f>
        <v>IN</v>
      </c>
      <c r="L8" s="2" t="str">
        <f>MID(B8,4,2)</f>
        <v>JU</v>
      </c>
    </row>
    <row r="9" spans="1:13" x14ac:dyDescent="0.25">
      <c r="A9" s="3">
        <v>8</v>
      </c>
      <c r="B9" s="3" t="s">
        <v>29</v>
      </c>
      <c r="C9" s="2" t="s">
        <v>37</v>
      </c>
      <c r="D9" s="3" t="s">
        <v>44</v>
      </c>
      <c r="E9" s="3">
        <v>30</v>
      </c>
      <c r="F9" s="4" t="s">
        <v>25</v>
      </c>
      <c r="G9" s="18">
        <v>250</v>
      </c>
      <c r="H9" s="5">
        <v>18384</v>
      </c>
      <c r="I9" s="6" t="str">
        <f>IF(G9&lt;100,"GOOD","STANDARD")</f>
        <v>STANDARD</v>
      </c>
      <c r="J9" s="7" t="str">
        <f>LEFT(B9,2)</f>
        <v xml:space="preserve">8 </v>
      </c>
      <c r="K9" s="2" t="str">
        <f>RIGHT(B9,2)</f>
        <v>UK</v>
      </c>
      <c r="L9" s="2" t="str">
        <f>MID(B9,4,2)</f>
        <v>AU</v>
      </c>
    </row>
    <row r="10" spans="1:13" x14ac:dyDescent="0.25">
      <c r="A10" s="3">
        <v>9</v>
      </c>
      <c r="B10" s="3" t="s">
        <v>30</v>
      </c>
      <c r="C10" s="2" t="s">
        <v>36</v>
      </c>
      <c r="D10" s="3" t="s">
        <v>45</v>
      </c>
      <c r="E10" s="3">
        <v>45</v>
      </c>
      <c r="F10" s="4" t="s">
        <v>25</v>
      </c>
      <c r="G10" s="18">
        <v>80</v>
      </c>
      <c r="H10" s="5">
        <v>11110</v>
      </c>
      <c r="I10" s="6" t="str">
        <f>IF(G10&lt;100,"GOOD","STANDARD")</f>
        <v>GOOD</v>
      </c>
      <c r="J10" s="7" t="str">
        <f>LEFT(B10,2)</f>
        <v xml:space="preserve">9 </v>
      </c>
      <c r="K10" s="2" t="str">
        <f>RIGHT(B10,2)</f>
        <v>IN</v>
      </c>
      <c r="L10" s="2" t="str">
        <f>MID(B10,4,2)</f>
        <v xml:space="preserve"> S</v>
      </c>
    </row>
    <row r="11" spans="1:13" x14ac:dyDescent="0.25">
      <c r="A11" s="3">
        <v>10</v>
      </c>
      <c r="B11" s="3" t="s">
        <v>33</v>
      </c>
      <c r="C11" s="2" t="s">
        <v>38</v>
      </c>
      <c r="D11" s="3" t="s">
        <v>46</v>
      </c>
      <c r="E11" s="3">
        <v>25</v>
      </c>
      <c r="F11" s="4" t="s">
        <v>25</v>
      </c>
      <c r="G11" s="18">
        <v>1000</v>
      </c>
      <c r="H11" s="5">
        <v>18476</v>
      </c>
      <c r="I11" s="6" t="str">
        <f>IF(G11&lt;100,"GOOD","STANDARD")</f>
        <v>STANDARD</v>
      </c>
      <c r="J11" s="7" t="str">
        <f>LEFT(B11,2)</f>
        <v>11</v>
      </c>
      <c r="K11" s="2" t="str">
        <f>RIGHT(B11,2)</f>
        <v>UK</v>
      </c>
      <c r="L11" s="2" t="str">
        <f>MID(B11,4,2)</f>
        <v xml:space="preserve"> O</v>
      </c>
    </row>
    <row r="12" spans="1:13" x14ac:dyDescent="0.25">
      <c r="A12" s="3">
        <v>11</v>
      </c>
      <c r="B12" s="3" t="s">
        <v>31</v>
      </c>
      <c r="C12" s="2" t="s">
        <v>39</v>
      </c>
      <c r="D12" s="3" t="s">
        <v>42</v>
      </c>
      <c r="E12" s="3">
        <v>12</v>
      </c>
      <c r="F12" s="4" t="s">
        <v>25</v>
      </c>
      <c r="G12" s="18">
        <v>3600</v>
      </c>
      <c r="H12" s="5">
        <v>14611</v>
      </c>
      <c r="I12" s="6" t="str">
        <f>IF(G12&lt;100,"GOOD","STANDARD")</f>
        <v>STANDARD</v>
      </c>
      <c r="J12" s="7" t="str">
        <f>LEFT(B12,2)</f>
        <v>20</v>
      </c>
      <c r="K12" s="2" t="str">
        <f>RIGHT(B12,2)</f>
        <v>UK</v>
      </c>
      <c r="L12" s="2" t="str">
        <f>MID(B12,4,2)</f>
        <v>NO</v>
      </c>
    </row>
    <row r="13" spans="1:13" ht="15.75" customHeight="1" x14ac:dyDescent="0.25">
      <c r="A13" s="9">
        <v>12</v>
      </c>
      <c r="B13" s="9" t="s">
        <v>32</v>
      </c>
      <c r="C13" s="10" t="s">
        <v>40</v>
      </c>
      <c r="D13" s="9" t="s">
        <v>47</v>
      </c>
      <c r="E13" s="9">
        <v>40</v>
      </c>
      <c r="F13" s="11" t="s">
        <v>25</v>
      </c>
      <c r="G13" s="18">
        <v>2500</v>
      </c>
      <c r="H13" s="12">
        <v>16834</v>
      </c>
      <c r="I13" s="13" t="str">
        <f>IF(G13&lt;100,"GOOD","STANDARD")</f>
        <v>STANDARD</v>
      </c>
      <c r="J13" s="14" t="str">
        <f>LEFT(B13,2)</f>
        <v>23</v>
      </c>
      <c r="K13" s="10" t="str">
        <f>RIGHT(B13,2)</f>
        <v>IN</v>
      </c>
      <c r="L13" s="10" t="str">
        <f>MID(B13,4,2)</f>
        <v>DE</v>
      </c>
    </row>
    <row r="14" spans="1:13" x14ac:dyDescent="0.25">
      <c r="A14" s="9"/>
      <c r="B14" s="9"/>
      <c r="C14" s="19"/>
      <c r="D14" s="19"/>
      <c r="F14" s="24" t="s">
        <v>55</v>
      </c>
      <c r="G14" s="16"/>
      <c r="H14" s="16"/>
    </row>
    <row r="15" spans="1:13" x14ac:dyDescent="0.25">
      <c r="A15" s="22" t="s">
        <v>49</v>
      </c>
      <c r="B15" s="22"/>
      <c r="C15" s="21">
        <f>SUM(G2:G3,G4,G5,G6,G7,G8,G9,G10,G11,G12,G13)</f>
        <v>11470</v>
      </c>
      <c r="D15" s="17"/>
      <c r="F15" s="26" t="s">
        <v>56</v>
      </c>
      <c r="G15" s="27"/>
      <c r="H15" s="27"/>
      <c r="I15" s="27"/>
      <c r="J15" s="23"/>
      <c r="K15" s="23"/>
      <c r="L15" s="23"/>
      <c r="M15" s="23"/>
    </row>
    <row r="16" spans="1:13" x14ac:dyDescent="0.25">
      <c r="A16" s="22" t="s">
        <v>54</v>
      </c>
      <c r="B16" s="22"/>
      <c r="C16" s="21">
        <f>COUNTA(C2,C3,C4,C5,C6,C7,C8,C9,C10,C11,C12,,C13)</f>
        <v>13</v>
      </c>
      <c r="F16" s="27"/>
      <c r="G16" s="27"/>
      <c r="H16" s="27"/>
      <c r="I16" s="27"/>
      <c r="J16" s="23"/>
      <c r="K16" s="23"/>
      <c r="L16" s="23"/>
      <c r="M16" s="23"/>
    </row>
    <row r="17" spans="1:13" x14ac:dyDescent="0.25">
      <c r="A17" s="22" t="s">
        <v>50</v>
      </c>
      <c r="B17" s="22"/>
      <c r="C17" s="21">
        <f>AVERAGE(G2,G3,G4,G5,G6,G7,G8,G9,G10,G11,G12,G13)</f>
        <v>955.83333333333337</v>
      </c>
      <c r="F17" s="27"/>
      <c r="G17" s="27"/>
      <c r="H17" s="27"/>
      <c r="I17" s="27"/>
      <c r="J17" s="23"/>
      <c r="K17" s="23"/>
      <c r="L17" s="23"/>
      <c r="M17" s="23"/>
    </row>
    <row r="18" spans="1:13" x14ac:dyDescent="0.25">
      <c r="A18" s="22" t="s">
        <v>51</v>
      </c>
      <c r="B18" s="22"/>
      <c r="C18" s="21">
        <f>MIN(G2,G3,G4,G5,G6,G7,G8,G9,G10,G11,G12,G13)</f>
        <v>80</v>
      </c>
      <c r="F18" s="27"/>
      <c r="G18" s="27"/>
      <c r="H18" s="27"/>
      <c r="I18" s="27"/>
      <c r="J18" s="23"/>
      <c r="K18" s="23"/>
      <c r="L18" s="23"/>
      <c r="M18" s="23"/>
    </row>
    <row r="19" spans="1:13" x14ac:dyDescent="0.25">
      <c r="A19" s="22" t="s">
        <v>52</v>
      </c>
      <c r="B19" s="22"/>
      <c r="C19" s="21">
        <f>MAX(G2,G3,G4,G5,G6,G7,G8,G9,G10,G11,G12,G13)</f>
        <v>3600</v>
      </c>
      <c r="F19" s="27"/>
      <c r="G19" s="27"/>
      <c r="H19" s="27"/>
      <c r="I19" s="27"/>
      <c r="J19" s="23"/>
      <c r="K19" s="23"/>
      <c r="L19" s="23"/>
      <c r="M19" s="23"/>
    </row>
    <row r="20" spans="1:13" ht="15" customHeight="1" x14ac:dyDescent="0.25">
      <c r="A20" s="22" t="s">
        <v>53</v>
      </c>
      <c r="B20" s="22"/>
      <c r="C20" s="21">
        <f>COUNTIF(G2:G13,"&lt;100")</f>
        <v>2</v>
      </c>
      <c r="D20" s="20"/>
      <c r="F20" s="27"/>
      <c r="G20" s="27"/>
      <c r="H20" s="27"/>
      <c r="I20" s="27"/>
      <c r="J20" s="23"/>
      <c r="K20" s="23"/>
      <c r="L20" s="23"/>
      <c r="M20" s="23"/>
    </row>
    <row r="21" spans="1:13" ht="15" customHeight="1" x14ac:dyDescent="0.25">
      <c r="F21" s="27"/>
      <c r="G21" s="27"/>
      <c r="H21" s="27"/>
      <c r="I21" s="27"/>
      <c r="J21" s="23"/>
      <c r="K21" s="23"/>
      <c r="L21" s="23"/>
      <c r="M21" s="23"/>
    </row>
    <row r="22" spans="1:13" x14ac:dyDescent="0.25">
      <c r="F22" s="27"/>
      <c r="G22" s="27"/>
      <c r="H22" s="27"/>
      <c r="I22" s="27"/>
      <c r="J22" s="23"/>
      <c r="K22" s="23"/>
      <c r="L22" s="23"/>
      <c r="M22" s="23"/>
    </row>
    <row r="23" spans="1:13" x14ac:dyDescent="0.25">
      <c r="F23" s="27"/>
      <c r="G23" s="27"/>
      <c r="H23" s="27"/>
      <c r="I23" s="27"/>
    </row>
    <row r="24" spans="1:13" x14ac:dyDescent="0.25">
      <c r="F24" s="27"/>
      <c r="G24" s="27"/>
      <c r="H24" s="27"/>
      <c r="I24" s="27"/>
    </row>
  </sheetData>
  <mergeCells count="8">
    <mergeCell ref="F15:I24"/>
    <mergeCell ref="F14:H14"/>
    <mergeCell ref="A20:B20"/>
    <mergeCell ref="A15:B15"/>
    <mergeCell ref="A17:B17"/>
    <mergeCell ref="A16:B16"/>
    <mergeCell ref="A18:B18"/>
    <mergeCell ref="A19:B19"/>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2026-09-15T13:11:18Z</dcterms:created>
  <dcterms:modified xsi:type="dcterms:W3CDTF">2026-09-17T07:48:15Z</dcterms:modified>
</cp:coreProperties>
</file>